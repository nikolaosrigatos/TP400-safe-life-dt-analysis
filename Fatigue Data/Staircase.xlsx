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 Career\Politecnico di Milano\Studies\2nd Year\3rd Semester\Structural Reliability of Aerospace Components\Projects\Turboprop shaft\Fatigue Data\"/>
    </mc:Choice>
  </mc:AlternateContent>
  <xr:revisionPtr revIDLastSave="0" documentId="8_{DEB7678C-FD0E-4BE8-A3D4-B929F88B4206}" xr6:coauthVersionLast="47" xr6:coauthVersionMax="47" xr10:uidLastSave="{00000000-0000-0000-0000-000000000000}"/>
  <bookViews>
    <workbookView xWindow="3852" yWindow="1344" windowWidth="17280" windowHeight="8880" xr2:uid="{C42DF5DD-D9E9-4887-988D-5F2E67BC3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D17" i="1"/>
  <c r="F15" i="1"/>
  <c r="F16" i="1"/>
  <c r="E15" i="1"/>
  <c r="E16" i="1"/>
  <c r="E17" i="1" l="1"/>
  <c r="C22" i="1" s="1"/>
  <c r="F17" i="1"/>
  <c r="C20" i="1" s="1"/>
  <c r="C23" i="1" s="1"/>
</calcChain>
</file>

<file path=xl/sharedStrings.xml><?xml version="1.0" encoding="utf-8"?>
<sst xmlns="http://schemas.openxmlformats.org/spreadsheetml/2006/main" count="25" uniqueCount="21">
  <si>
    <t>Staircase (X failure, O run-out)</t>
  </si>
  <si>
    <t>X</t>
  </si>
  <si>
    <t>O</t>
  </si>
  <si>
    <t>S0</t>
  </si>
  <si>
    <t>d</t>
  </si>
  <si>
    <t>MPa</t>
  </si>
  <si>
    <t>Stress</t>
  </si>
  <si>
    <t>Si</t>
  </si>
  <si>
    <t>Level</t>
  </si>
  <si>
    <t>i</t>
  </si>
  <si>
    <t>Values</t>
  </si>
  <si>
    <t>fi</t>
  </si>
  <si>
    <t>ifi</t>
  </si>
  <si>
    <t>i^2fi</t>
  </si>
  <si>
    <t>Sum</t>
  </si>
  <si>
    <t>C</t>
  </si>
  <si>
    <t>A</t>
  </si>
  <si>
    <t>B</t>
  </si>
  <si>
    <t>μ</t>
  </si>
  <si>
    <t>D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</si>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</sst>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CDBC-F0E3-4E56-AD1B-8D7387ED3A33}">
  <dimension ref="B1:K23"/>
  <sheetViews>
    <sheetView tabSelected="1" workbookViewId="0">
      <selection activeCell="J8" sqref="J8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1" t="s">
        <v>0</v>
      </c>
      <c r="C2" s="8"/>
      <c r="D2" s="8"/>
      <c r="E2" s="8"/>
      <c r="F2" s="8"/>
      <c r="G2" s="9"/>
    </row>
    <row r="3" spans="2:11" x14ac:dyDescent="0.3">
      <c r="B3" s="3">
        <v>480</v>
      </c>
      <c r="C3" s="2"/>
      <c r="D3" s="2"/>
      <c r="E3" s="2"/>
      <c r="F3" s="2"/>
      <c r="G3" s="4"/>
    </row>
    <row r="4" spans="2:11" x14ac:dyDescent="0.3">
      <c r="B4" s="3">
        <v>470</v>
      </c>
      <c r="C4" s="2"/>
      <c r="D4" s="2"/>
      <c r="E4" s="2"/>
      <c r="F4" s="2"/>
      <c r="G4" s="4"/>
      <c r="J4">
        <f xml:space="preserve"> SUM(B4:B7)/4</f>
        <v>455</v>
      </c>
    </row>
    <row r="5" spans="2:11" x14ac:dyDescent="0.3">
      <c r="B5" s="3">
        <v>460</v>
      </c>
      <c r="C5" s="2"/>
      <c r="D5" s="2"/>
      <c r="E5" s="2"/>
      <c r="F5" s="2" t="s">
        <v>1</v>
      </c>
      <c r="G5" s="4"/>
    </row>
    <row r="6" spans="2:11" x14ac:dyDescent="0.3">
      <c r="B6" s="3">
        <v>450</v>
      </c>
      <c r="C6" s="2" t="s">
        <v>1</v>
      </c>
      <c r="D6" s="2"/>
      <c r="E6" s="2" t="s">
        <v>2</v>
      </c>
      <c r="F6" s="2"/>
      <c r="G6" s="4" t="s">
        <v>1</v>
      </c>
    </row>
    <row r="7" spans="2:11" x14ac:dyDescent="0.3">
      <c r="B7" s="3">
        <v>440</v>
      </c>
      <c r="C7" s="2"/>
      <c r="D7" s="2" t="s">
        <v>2</v>
      </c>
      <c r="E7" s="2"/>
      <c r="F7" s="2"/>
      <c r="G7" s="4"/>
    </row>
    <row r="8" spans="2:11" ht="15" thickBot="1" x14ac:dyDescent="0.35">
      <c r="B8" s="5">
        <v>430</v>
      </c>
      <c r="C8" s="6"/>
      <c r="D8" s="6"/>
      <c r="E8" s="6"/>
      <c r="F8" s="6"/>
      <c r="G8" s="7"/>
    </row>
    <row r="10" spans="2:11" x14ac:dyDescent="0.3">
      <c r="B10" s="10" t="s">
        <v>3</v>
      </c>
      <c r="C10" s="10">
        <v>450</v>
      </c>
      <c r="D10" s="10" t="s">
        <v>5</v>
      </c>
    </row>
    <row r="11" spans="2:11" x14ac:dyDescent="0.3">
      <c r="B11" s="10" t="s">
        <v>4</v>
      </c>
      <c r="C11" s="10">
        <v>10</v>
      </c>
      <c r="D11" s="10" t="s">
        <v>5</v>
      </c>
    </row>
    <row r="13" spans="2:11" x14ac:dyDescent="0.3">
      <c r="B13" s="10" t="s">
        <v>6</v>
      </c>
      <c r="C13" s="10" t="s">
        <v>8</v>
      </c>
      <c r="D13" s="11" t="s">
        <v>10</v>
      </c>
      <c r="E13" s="11"/>
      <c r="F13" s="11"/>
      <c r="G13" s="10"/>
      <c r="H13" s="10"/>
      <c r="I13" s="10"/>
      <c r="J13" s="10"/>
      <c r="K13" s="10"/>
    </row>
    <row r="14" spans="2:11" x14ac:dyDescent="0.3">
      <c r="B14" s="10" t="s">
        <v>7</v>
      </c>
      <c r="C14" s="10" t="s">
        <v>9</v>
      </c>
      <c r="D14" s="10" t="s">
        <v>11</v>
      </c>
      <c r="E14" s="10" t="s">
        <v>12</v>
      </c>
      <c r="F14" s="10" t="s">
        <v>13</v>
      </c>
      <c r="G14" s="10"/>
      <c r="H14" s="10"/>
      <c r="I14" s="10"/>
      <c r="J14" s="10"/>
      <c r="K14" s="10"/>
    </row>
    <row r="15" spans="2:11" x14ac:dyDescent="0.3">
      <c r="B15" s="10">
        <v>460</v>
      </c>
      <c r="C15" s="10">
        <v>2</v>
      </c>
      <c r="D15" s="10">
        <v>1</v>
      </c>
      <c r="E15" s="10">
        <f>C15*D15</f>
        <v>2</v>
      </c>
      <c r="F15" s="10">
        <f>C15^2*D15</f>
        <v>4</v>
      </c>
      <c r="G15" s="10"/>
      <c r="H15" s="10"/>
      <c r="I15" s="10"/>
      <c r="J15" s="10"/>
      <c r="K15" s="10"/>
    </row>
    <row r="16" spans="2:11" x14ac:dyDescent="0.3">
      <c r="B16" s="10">
        <v>450</v>
      </c>
      <c r="C16" s="10">
        <v>1</v>
      </c>
      <c r="D16" s="10">
        <v>2</v>
      </c>
      <c r="E16" s="10">
        <f>C16*D16</f>
        <v>2</v>
      </c>
      <c r="F16" s="10">
        <f>C16^2*D16</f>
        <v>2</v>
      </c>
      <c r="G16" s="10"/>
      <c r="H16" s="10"/>
      <c r="I16" s="10"/>
      <c r="J16" s="10"/>
      <c r="K16" s="10"/>
    </row>
    <row r="17" spans="2:11" x14ac:dyDescent="0.3">
      <c r="B17" s="10" t="s">
        <v>14</v>
      </c>
      <c r="C17" s="10"/>
      <c r="D17" s="10">
        <f>SUM(D15:D16)</f>
        <v>3</v>
      </c>
      <c r="E17" s="10">
        <f>SUM(E15:E16)</f>
        <v>4</v>
      </c>
      <c r="F17" s="10">
        <f>SUM(F15:F16)</f>
        <v>6</v>
      </c>
      <c r="G17" s="10"/>
      <c r="H17" s="10"/>
      <c r="I17" s="10"/>
      <c r="J17" s="10"/>
      <c r="K17" s="10"/>
    </row>
    <row r="18" spans="2:11" x14ac:dyDescent="0.3">
      <c r="B18" s="10"/>
      <c r="C18" s="10"/>
      <c r="D18" s="10" t="s">
        <v>15</v>
      </c>
      <c r="E18" s="10" t="s">
        <v>16</v>
      </c>
      <c r="F18" s="10" t="s">
        <v>17</v>
      </c>
      <c r="G18" s="10"/>
      <c r="H18" s="10"/>
      <c r="I18" s="10"/>
      <c r="J18" s="10"/>
      <c r="K18" s="10"/>
    </row>
    <row r="19" spans="2:11" x14ac:dyDescent="0.3"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2:11" x14ac:dyDescent="0.3">
      <c r="B20" s="10" t="s">
        <v>19</v>
      </c>
      <c r="C20" s="10">
        <f>(F17*D17-E17^2)/D17^2</f>
        <v>0.22222222222222221</v>
      </c>
      <c r="D20" s="10"/>
      <c r="E20" s="10"/>
      <c r="F20" s="10"/>
      <c r="G20" s="10"/>
      <c r="H20" s="10"/>
      <c r="I20" s="10"/>
      <c r="J20" s="10"/>
      <c r="K20" s="10"/>
    </row>
    <row r="21" spans="2:1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x14ac:dyDescent="0.3">
      <c r="B22" s="10" t="s">
        <v>18</v>
      </c>
      <c r="C22" s="10">
        <f>C10+C11*(E17/D17+1/2)</f>
        <v>468.33333333333331</v>
      </c>
    </row>
    <row r="23" spans="2:11" x14ac:dyDescent="0.3">
      <c r="B23" s="10" t="s">
        <v>20</v>
      </c>
      <c r="C23" s="10">
        <f>1.62*C11*(C20+0.029)</f>
        <v>4.0698000000000008</v>
      </c>
    </row>
  </sheetData>
  <mergeCells count="2">
    <mergeCell ref="B2:G2"/>
    <mergeCell ref="D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Rigatos</dc:creator>
  <cp:lastModifiedBy>Nikolaos Rigatos</cp:lastModifiedBy>
  <dcterms:created xsi:type="dcterms:W3CDTF">2023-11-24T18:14:46Z</dcterms:created>
  <dcterms:modified xsi:type="dcterms:W3CDTF">2023-11-24T19:09:38Z</dcterms:modified>
</cp:coreProperties>
</file>